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fuji\Documents\github\expense-management-system\exel_format\"/>
    </mc:Choice>
  </mc:AlternateContent>
  <xr:revisionPtr revIDLastSave="0" documentId="13_ncr:1_{C04ED137-4841-441C-A332-0DA6CD12B3DB}" xr6:coauthVersionLast="47" xr6:coauthVersionMax="47" xr10:uidLastSave="{00000000-0000-0000-0000-000000000000}"/>
  <bookViews>
    <workbookView xWindow="-110" yWindow="-110" windowWidth="19420" windowHeight="11500" xr2:uid="{DB4FDB55-90B6-48A3-8C0B-D3C8513B588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8" i="1" l="1"/>
  <c r="G25" i="1" s="1"/>
  <c r="G24" i="1"/>
  <c r="A21" i="1"/>
  <c r="A20" i="1"/>
  <c r="A18" i="1"/>
</calcChain>
</file>

<file path=xl/sharedStrings.xml><?xml version="1.0" encoding="utf-8"?>
<sst xmlns="http://schemas.openxmlformats.org/spreadsheetml/2006/main" count="62" uniqueCount="44">
  <si>
    <t>研究費支出願（物品調達請求含む）</t>
    <rPh sb="0" eb="3">
      <t>ケンキュウヒ</t>
    </rPh>
    <rPh sb="3" eb="5">
      <t>シシュツ</t>
    </rPh>
    <rPh sb="5" eb="6">
      <t>ネガ</t>
    </rPh>
    <rPh sb="7" eb="9">
      <t>ブッピン</t>
    </rPh>
    <rPh sb="9" eb="11">
      <t>チョウタツ</t>
    </rPh>
    <rPh sb="11" eb="13">
      <t>セイキュウ</t>
    </rPh>
    <rPh sb="13" eb="14">
      <t>フク</t>
    </rPh>
    <phoneticPr fontId="4"/>
  </si>
  <si>
    <t>支出NO.</t>
    <rPh sb="0" eb="2">
      <t>シシュツ</t>
    </rPh>
    <phoneticPr fontId="4"/>
  </si>
  <si>
    <t>申請日</t>
    <rPh sb="0" eb="2">
      <t>シンセイ</t>
    </rPh>
    <rPh sb="2" eb="3">
      <t>ビ</t>
    </rPh>
    <phoneticPr fontId="4"/>
  </si>
  <si>
    <t>龍谷大学・龍谷大学短期大学部　学長　殿</t>
    <rPh sb="0" eb="2">
      <t>リュウコク</t>
    </rPh>
    <rPh sb="2" eb="4">
      <t>ダイガク</t>
    </rPh>
    <rPh sb="5" eb="7">
      <t>リュウコク</t>
    </rPh>
    <rPh sb="7" eb="9">
      <t>ダイガク</t>
    </rPh>
    <rPh sb="9" eb="12">
      <t>タンキダイ</t>
    </rPh>
    <rPh sb="12" eb="14">
      <t>ガクブ</t>
    </rPh>
    <rPh sb="15" eb="17">
      <t>ガクチョウ</t>
    </rPh>
    <rPh sb="18" eb="19">
      <t>ドノ</t>
    </rPh>
    <phoneticPr fontId="4"/>
  </si>
  <si>
    <t>所属・職名</t>
    <rPh sb="0" eb="2">
      <t>ショゾク</t>
    </rPh>
    <rPh sb="3" eb="5">
      <t>ショクメイ</t>
    </rPh>
    <phoneticPr fontId="4"/>
  </si>
  <si>
    <t>:</t>
    <phoneticPr fontId="4"/>
  </si>
  <si>
    <t>職員番号</t>
    <rPh sb="0" eb="1">
      <t>ショク</t>
    </rPh>
    <rPh sb="1" eb="2">
      <t>イン</t>
    </rPh>
    <rPh sb="2" eb="3">
      <t>バン</t>
    </rPh>
    <rPh sb="3" eb="4">
      <t>ゴウ</t>
    </rPh>
    <phoneticPr fontId="4"/>
  </si>
  <si>
    <t>申請者</t>
    <rPh sb="0" eb="3">
      <t>シンセイシャ</t>
    </rPh>
    <phoneticPr fontId="4"/>
  </si>
  <si>
    <t>研究代表者</t>
    <rPh sb="0" eb="2">
      <t>ケンキュウ</t>
    </rPh>
    <rPh sb="2" eb="5">
      <t>ダイヒョウシャ</t>
    </rPh>
    <phoneticPr fontId="4"/>
  </si>
  <si>
    <t>以下のとおり、研究費の支出をお願い致します。</t>
    <rPh sb="0" eb="2">
      <t>イカ</t>
    </rPh>
    <rPh sb="7" eb="10">
      <t>ケンキュウヒ</t>
    </rPh>
    <rPh sb="11" eb="13">
      <t>シシュツ</t>
    </rPh>
    <rPh sb="15" eb="16">
      <t>ネガ</t>
    </rPh>
    <rPh sb="17" eb="18">
      <t>イタ</t>
    </rPh>
    <phoneticPr fontId="4"/>
  </si>
  <si>
    <t>1．研究費区分</t>
    <rPh sb="2" eb="5">
      <t>ケンキュウヒ</t>
    </rPh>
    <rPh sb="5" eb="7">
      <t>クブン</t>
    </rPh>
    <phoneticPr fontId="4"/>
  </si>
  <si>
    <t>研究種目</t>
    <rPh sb="0" eb="2">
      <t>ケンキュウ</t>
    </rPh>
    <rPh sb="2" eb="4">
      <t>シュモク</t>
    </rPh>
    <phoneticPr fontId="4"/>
  </si>
  <si>
    <t>選択してください</t>
  </si>
  <si>
    <t>研究代表者
研究分担者</t>
    <rPh sb="0" eb="2">
      <t>ケンキュウ</t>
    </rPh>
    <rPh sb="2" eb="5">
      <t>ダイヒョウシャ</t>
    </rPh>
    <rPh sb="6" eb="8">
      <t>ケンキュウ</t>
    </rPh>
    <rPh sb="8" eb="10">
      <t>ブンタン</t>
    </rPh>
    <rPh sb="10" eb="11">
      <t>シャ</t>
    </rPh>
    <phoneticPr fontId="4"/>
  </si>
  <si>
    <t>課題番号</t>
    <rPh sb="0" eb="2">
      <t>カダイ</t>
    </rPh>
    <rPh sb="2" eb="4">
      <t>バンゴウ</t>
    </rPh>
    <phoneticPr fontId="4"/>
  </si>
  <si>
    <t>研究費</t>
    <rPh sb="0" eb="3">
      <t>ケンキュウヒ</t>
    </rPh>
    <phoneticPr fontId="4"/>
  </si>
  <si>
    <t>研究代表者
共同研究者</t>
    <rPh sb="0" eb="2">
      <t>ケンキュウ</t>
    </rPh>
    <rPh sb="2" eb="5">
      <t>ダイヒョウシャ</t>
    </rPh>
    <rPh sb="6" eb="8">
      <t>キョウドウ</t>
    </rPh>
    <rPh sb="8" eb="10">
      <t>ケンキュウ</t>
    </rPh>
    <rPh sb="10" eb="11">
      <t>シャ</t>
    </rPh>
    <phoneticPr fontId="4"/>
  </si>
  <si>
    <t>2．支出費目</t>
    <rPh sb="2" eb="4">
      <t>シシュツ</t>
    </rPh>
    <rPh sb="4" eb="6">
      <t>ヒモク</t>
    </rPh>
    <phoneticPr fontId="4"/>
  </si>
  <si>
    <t>3．支出額</t>
    <rPh sb="2" eb="5">
      <t>シシュツガク</t>
    </rPh>
    <phoneticPr fontId="4"/>
  </si>
  <si>
    <t>円</t>
    <rPh sb="0" eb="1">
      <t>エン</t>
    </rPh>
    <phoneticPr fontId="4"/>
  </si>
  <si>
    <t>4．支出内容</t>
    <rPh sb="2" eb="4">
      <t>シシュツ</t>
    </rPh>
    <rPh sb="4" eb="6">
      <t>ナイヨウ</t>
    </rPh>
    <phoneticPr fontId="4"/>
  </si>
  <si>
    <r>
      <t xml:space="preserve">　　　　　　　　　　　　件　　名
</t>
    </r>
    <r>
      <rPr>
        <sz val="8"/>
        <color theme="1"/>
        <rFont val="ＭＳ ゴシック"/>
        <family val="3"/>
        <charset val="128"/>
      </rPr>
      <t xml:space="preserve">
※物品調達において、請求書・領収書等の合計金額と下欄の合計金額が一致する場合は、物品名の記入を省略いただいて構いません。その場合は、「別紙のとおり」と記入してください。</t>
    </r>
    <rPh sb="12" eb="13">
      <t>ケン</t>
    </rPh>
    <rPh sb="15" eb="16">
      <t>ナ</t>
    </rPh>
    <rPh sb="19" eb="21">
      <t>ブッピン</t>
    </rPh>
    <rPh sb="21" eb="23">
      <t>チョウタツ</t>
    </rPh>
    <rPh sb="28" eb="31">
      <t>セイキュウショ</t>
    </rPh>
    <rPh sb="32" eb="34">
      <t>リョウシュウ</t>
    </rPh>
    <rPh sb="34" eb="35">
      <t>ショ</t>
    </rPh>
    <rPh sb="35" eb="36">
      <t>トウ</t>
    </rPh>
    <rPh sb="37" eb="39">
      <t>ゴウケイ</t>
    </rPh>
    <rPh sb="39" eb="41">
      <t>キンガク</t>
    </rPh>
    <rPh sb="42" eb="44">
      <t>カラン</t>
    </rPh>
    <rPh sb="45" eb="47">
      <t>ゴウケイ</t>
    </rPh>
    <rPh sb="47" eb="49">
      <t>キンガク</t>
    </rPh>
    <rPh sb="50" eb="52">
      <t>イッチ</t>
    </rPh>
    <rPh sb="54" eb="56">
      <t>バアイ</t>
    </rPh>
    <rPh sb="58" eb="60">
      <t>ブッピン</t>
    </rPh>
    <rPh sb="60" eb="61">
      <t>メイ</t>
    </rPh>
    <rPh sb="62" eb="64">
      <t>キニュウ</t>
    </rPh>
    <rPh sb="65" eb="67">
      <t>ショウリャク</t>
    </rPh>
    <rPh sb="72" eb="73">
      <t>カマ</t>
    </rPh>
    <rPh sb="80" eb="82">
      <t>バアイ</t>
    </rPh>
    <rPh sb="85" eb="87">
      <t>ベッシ</t>
    </rPh>
    <rPh sb="93" eb="95">
      <t>キニュウ</t>
    </rPh>
    <phoneticPr fontId="4"/>
  </si>
  <si>
    <t>金額（税込）</t>
    <rPh sb="0" eb="1">
      <t>キン</t>
    </rPh>
    <rPh sb="1" eb="2">
      <t>ガク</t>
    </rPh>
    <rPh sb="3" eb="5">
      <t>ゼイコ</t>
    </rPh>
    <phoneticPr fontId="4"/>
  </si>
  <si>
    <t>合　　計</t>
    <rPh sb="0" eb="1">
      <t>ゴウ</t>
    </rPh>
    <rPh sb="3" eb="4">
      <t>ケイ</t>
    </rPh>
    <phoneticPr fontId="4"/>
  </si>
  <si>
    <t>物品のみ記入してください。→</t>
    <rPh sb="0" eb="2">
      <t>ブッピン</t>
    </rPh>
    <rPh sb="4" eb="6">
      <t>キニュウ</t>
    </rPh>
    <phoneticPr fontId="4"/>
  </si>
  <si>
    <t>設置場所</t>
    <rPh sb="0" eb="2">
      <t>セッチ</t>
    </rPh>
    <rPh sb="2" eb="4">
      <t>バショ</t>
    </rPh>
    <phoneticPr fontId="4"/>
  </si>
  <si>
    <t>学舎</t>
    <rPh sb="0" eb="2">
      <t>ガクシャ</t>
    </rPh>
    <phoneticPr fontId="4"/>
  </si>
  <si>
    <t>納品場所</t>
    <rPh sb="0" eb="2">
      <t>ノウヒン</t>
    </rPh>
    <rPh sb="2" eb="4">
      <t>バショ</t>
    </rPh>
    <phoneticPr fontId="4"/>
  </si>
  <si>
    <t>5．支払先</t>
    <phoneticPr fontId="4"/>
  </si>
  <si>
    <t>立替者</t>
    <phoneticPr fontId="4"/>
  </si>
  <si>
    <t>6．連絡欄</t>
    <rPh sb="2" eb="4">
      <t>レンラク</t>
    </rPh>
    <rPh sb="4" eb="5">
      <t>ラン</t>
    </rPh>
    <phoneticPr fontId="4"/>
  </si>
  <si>
    <t>＜物品調達に関する連絡＞
（個研費以外）</t>
    <rPh sb="1" eb="3">
      <t>ブッピン</t>
    </rPh>
    <rPh sb="3" eb="5">
      <t>チョウタツ</t>
    </rPh>
    <rPh sb="6" eb="7">
      <t>カン</t>
    </rPh>
    <rPh sb="9" eb="11">
      <t>レンラク</t>
    </rPh>
    <rPh sb="14" eb="16">
      <t>コケン</t>
    </rPh>
    <rPh sb="16" eb="17">
      <t>ヒ</t>
    </rPh>
    <rPh sb="17" eb="19">
      <t>イガイ</t>
    </rPh>
    <phoneticPr fontId="4"/>
  </si>
  <si>
    <t>発注してください</t>
  </si>
  <si>
    <t>発注済みです</t>
  </si>
  <si>
    <t>納品済みです</t>
  </si>
  <si>
    <t>事務局使用欄</t>
    <rPh sb="0" eb="3">
      <t>ジムキョク</t>
    </rPh>
    <rPh sb="3" eb="5">
      <t>シヨウ</t>
    </rPh>
    <rPh sb="5" eb="6">
      <t>ラン</t>
    </rPh>
    <phoneticPr fontId="4"/>
  </si>
  <si>
    <t>物品検収日・寄贈日</t>
    <rPh sb="0" eb="2">
      <t>ブッピン</t>
    </rPh>
    <rPh sb="2" eb="4">
      <t>ケンシュウ</t>
    </rPh>
    <rPh sb="4" eb="5">
      <t>ビ</t>
    </rPh>
    <rPh sb="6" eb="8">
      <t>キゾウ</t>
    </rPh>
    <rPh sb="8" eb="9">
      <t>ビ</t>
    </rPh>
    <phoneticPr fontId="4"/>
  </si>
  <si>
    <t>年　　月　　日</t>
    <rPh sb="0" eb="1">
      <t>ネン</t>
    </rPh>
    <rPh sb="3" eb="4">
      <t>ツキ</t>
    </rPh>
    <rPh sb="6" eb="7">
      <t>ヒ</t>
    </rPh>
    <phoneticPr fontId="4"/>
  </si>
  <si>
    <t>物品検収No.</t>
    <rPh sb="0" eb="2">
      <t>ブッピン</t>
    </rPh>
    <rPh sb="2" eb="4">
      <t>ケンシュウ</t>
    </rPh>
    <phoneticPr fontId="4"/>
  </si>
  <si>
    <t>支出後残額</t>
    <rPh sb="0" eb="2">
      <t>シシュツ</t>
    </rPh>
    <rPh sb="2" eb="3">
      <t>ゴ</t>
    </rPh>
    <rPh sb="3" eb="5">
      <t>ザンガク</t>
    </rPh>
    <phoneticPr fontId="4"/>
  </si>
  <si>
    <t>←申請者が研究分担者の場合は研究代表者名を必ずご記入ください。</t>
    <rPh sb="1" eb="4">
      <t>シンセイシャ</t>
    </rPh>
    <rPh sb="5" eb="7">
      <t>ケンキュウ</t>
    </rPh>
    <rPh sb="7" eb="9">
      <t>ブンタン</t>
    </rPh>
    <rPh sb="9" eb="10">
      <t>シャ</t>
    </rPh>
    <rPh sb="11" eb="13">
      <t>バアイ</t>
    </rPh>
    <rPh sb="14" eb="16">
      <t>ケンキュウ</t>
    </rPh>
    <rPh sb="16" eb="19">
      <t>ダイヒョウシャ</t>
    </rPh>
    <rPh sb="19" eb="20">
      <t>メイ</t>
    </rPh>
    <rPh sb="21" eb="22">
      <t>カナラ</t>
    </rPh>
    <rPh sb="24" eb="26">
      <t>キニュウ</t>
    </rPh>
    <phoneticPr fontId="4"/>
  </si>
  <si>
    <t>←その他研究費については、研究課題名等をご記入ください。</t>
    <rPh sb="3" eb="4">
      <t>ホカ</t>
    </rPh>
    <rPh sb="4" eb="7">
      <t>ケンキュウヒ</t>
    </rPh>
    <phoneticPr fontId="4"/>
  </si>
  <si>
    <t>←「4.支出内容」の合計金額が自動的に反映されます。（入力不要）</t>
    <rPh sb="4" eb="6">
      <t>シシュツ</t>
    </rPh>
    <rPh sb="6" eb="8">
      <t>ナイヨウ</t>
    </rPh>
    <rPh sb="10" eb="12">
      <t>ゴウケイ</t>
    </rPh>
    <rPh sb="12" eb="14">
      <t>キンガク</t>
    </rPh>
    <rPh sb="15" eb="18">
      <t>ジドウテキ</t>
    </rPh>
    <rPh sb="19" eb="21">
      <t>ハンエイ</t>
    </rPh>
    <rPh sb="27" eb="29">
      <t>ニュウリョク</t>
    </rPh>
    <rPh sb="29" eb="31">
      <t>フヨウ</t>
    </rPh>
    <phoneticPr fontId="4"/>
  </si>
  <si>
    <t>個人研究費・研修費</t>
    <rPh sb="0" eb="5">
      <t>コジンケンキュウヒ</t>
    </rPh>
    <rPh sb="6" eb="9">
      <t>ケンシュウヒ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</si>
</sst>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6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9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shrinkToFit="1"/>
    </xf>
    <xf numFmtId="38" fontId="12" fillId="0" borderId="0" xfId="1" applyFont="1" applyFill="1" applyBorder="1" applyAlignment="1" applyProtection="1">
      <alignment vertical="center"/>
    </xf>
    <xf numFmtId="0" fontId="6" fillId="0" borderId="1" xfId="0" applyFont="1" applyBorder="1" applyAlignment="1"/>
    <xf numFmtId="0" fontId="6" fillId="0" borderId="1" xfId="0" applyFont="1" applyBorder="1" applyAlignment="1">
      <alignment horizontal="left" vertical="center"/>
    </xf>
    <xf numFmtId="38" fontId="6" fillId="0" borderId="8" xfId="1" applyFont="1" applyFill="1" applyBorder="1" applyAlignment="1" applyProtection="1">
      <alignment vertical="center" wrapText="1"/>
    </xf>
    <xf numFmtId="38" fontId="6" fillId="0" borderId="11" xfId="1" applyFont="1" applyFill="1" applyBorder="1" applyAlignment="1" applyProtection="1">
      <alignment vertical="center" wrapText="1"/>
    </xf>
    <xf numFmtId="38" fontId="6" fillId="0" borderId="14" xfId="1" applyFont="1" applyFill="1" applyBorder="1" applyAlignment="1" applyProtection="1">
      <alignment vertical="center" wrapText="1"/>
    </xf>
    <xf numFmtId="38" fontId="6" fillId="0" borderId="5" xfId="1" applyFont="1" applyFill="1" applyBorder="1" applyAlignment="1" applyProtection="1">
      <alignment vertical="center" wrapText="1"/>
    </xf>
    <xf numFmtId="0" fontId="10" fillId="0" borderId="0" xfId="0" applyFont="1" applyAlignment="1">
      <alignment horizontal="center" vertical="center" wrapText="1"/>
    </xf>
    <xf numFmtId="176" fontId="10" fillId="0" borderId="0" xfId="1" applyNumberFormat="1" applyFont="1" applyFill="1" applyBorder="1" applyAlignment="1" applyProtection="1">
      <alignment horizontal="right" vertical="center" wrapText="1"/>
    </xf>
    <xf numFmtId="38" fontId="6" fillId="0" borderId="0" xfId="1" applyFont="1" applyFill="1" applyBorder="1" applyAlignment="1" applyProtection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" xfId="0" applyFont="1" applyBorder="1">
      <alignment vertical="center"/>
    </xf>
    <xf numFmtId="0" fontId="15" fillId="0" borderId="0" xfId="0" applyFont="1" applyAlignment="1">
      <alignment horizontal="left" vertical="center"/>
    </xf>
    <xf numFmtId="0" fontId="6" fillId="0" borderId="0" xfId="0" applyFont="1" applyAlignment="1">
      <alignment vertical="top" wrapText="1"/>
    </xf>
    <xf numFmtId="0" fontId="11" fillId="2" borderId="0" xfId="0" applyFont="1" applyFill="1" applyAlignment="1">
      <alignment vertical="top"/>
    </xf>
    <xf numFmtId="0" fontId="11" fillId="2" borderId="19" xfId="0" applyFont="1" applyFill="1" applyBorder="1" applyAlignment="1">
      <alignment vertical="top"/>
    </xf>
    <xf numFmtId="0" fontId="6" fillId="0" borderId="21" xfId="0" applyFont="1" applyBorder="1" applyAlignment="1">
      <alignment horizontal="left" vertical="center"/>
    </xf>
    <xf numFmtId="0" fontId="6" fillId="0" borderId="2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2" borderId="1" xfId="0" applyFont="1" applyFill="1" applyBorder="1" applyAlignment="1" applyProtection="1">
      <alignment vertical="center" shrinkToFit="1"/>
      <protection locked="0"/>
    </xf>
    <xf numFmtId="0" fontId="6" fillId="2" borderId="1" xfId="0" applyFont="1" applyFill="1" applyBorder="1" applyAlignment="1" applyProtection="1">
      <alignment horizontal="left" vertical="center" shrinkToFit="1"/>
      <protection locked="0"/>
    </xf>
    <xf numFmtId="0" fontId="6" fillId="0" borderId="15" xfId="0" applyFont="1" applyBorder="1" applyAlignment="1" applyProtection="1">
      <alignment horizontal="center" vertical="top"/>
      <protection locked="0"/>
    </xf>
    <xf numFmtId="0" fontId="6" fillId="0" borderId="3" xfId="0" applyFont="1" applyBorder="1" applyAlignment="1" applyProtection="1">
      <alignment horizontal="center" vertical="top"/>
      <protection locked="0"/>
    </xf>
    <xf numFmtId="0" fontId="6" fillId="0" borderId="16" xfId="0" applyFont="1" applyBorder="1" applyAlignment="1" applyProtection="1">
      <alignment horizontal="center" vertical="top"/>
      <protection locked="0"/>
    </xf>
    <xf numFmtId="0" fontId="6" fillId="0" borderId="17" xfId="0" applyFont="1" applyBorder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center" vertical="top"/>
      <protection locked="0"/>
    </xf>
    <xf numFmtId="0" fontId="6" fillId="0" borderId="18" xfId="0" applyFont="1" applyBorder="1" applyAlignment="1" applyProtection="1">
      <alignment horizontal="center" vertical="top"/>
      <protection locked="0"/>
    </xf>
    <xf numFmtId="0" fontId="6" fillId="0" borderId="19" xfId="0" applyFont="1" applyBorder="1" applyAlignment="1" applyProtection="1">
      <alignment horizontal="center" vertical="top"/>
      <protection locked="0"/>
    </xf>
    <xf numFmtId="0" fontId="6" fillId="0" borderId="1" xfId="0" applyFont="1" applyBorder="1" applyAlignment="1" applyProtection="1">
      <alignment horizontal="center" vertical="top"/>
      <protection locked="0"/>
    </xf>
    <xf numFmtId="0" fontId="6" fillId="0" borderId="20" xfId="0" applyFont="1" applyBorder="1" applyAlignment="1" applyProtection="1">
      <alignment horizontal="center" vertical="top"/>
      <protection locked="0"/>
    </xf>
    <xf numFmtId="0" fontId="7" fillId="2" borderId="15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16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top"/>
    </xf>
    <xf numFmtId="0" fontId="11" fillId="2" borderId="18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/>
    </xf>
    <xf numFmtId="0" fontId="11" fillId="2" borderId="20" xfId="0" applyFont="1" applyFill="1" applyBorder="1" applyAlignment="1">
      <alignment horizontal="left" vertical="top"/>
    </xf>
    <xf numFmtId="0" fontId="6" fillId="3" borderId="19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1" xfId="0" applyFont="1" applyBorder="1" applyAlignment="1">
      <alignment horizontal="center" vertical="center" shrinkToFit="1"/>
    </xf>
    <xf numFmtId="0" fontId="14" fillId="2" borderId="1" xfId="0" applyFont="1" applyFill="1" applyBorder="1" applyAlignment="1" applyProtection="1">
      <alignment horizontal="left" vertical="center" shrinkToFit="1"/>
      <protection locked="0"/>
    </xf>
    <xf numFmtId="0" fontId="6" fillId="2" borderId="9" xfId="0" applyFont="1" applyFill="1" applyBorder="1" applyAlignment="1" applyProtection="1">
      <alignment vertical="center" shrinkToFit="1"/>
      <protection locked="0"/>
    </xf>
    <xf numFmtId="0" fontId="6" fillId="2" borderId="10" xfId="0" applyFont="1" applyFill="1" applyBorder="1" applyAlignment="1" applyProtection="1">
      <alignment vertical="center" shrinkToFit="1"/>
      <protection locked="0"/>
    </xf>
    <xf numFmtId="0" fontId="6" fillId="2" borderId="11" xfId="0" applyFont="1" applyFill="1" applyBorder="1" applyAlignment="1" applyProtection="1">
      <alignment vertical="center" shrinkToFit="1"/>
      <protection locked="0"/>
    </xf>
    <xf numFmtId="38" fontId="6" fillId="2" borderId="9" xfId="1" applyFont="1" applyFill="1" applyBorder="1" applyAlignment="1" applyProtection="1">
      <alignment vertical="center" shrinkToFit="1"/>
      <protection locked="0"/>
    </xf>
    <xf numFmtId="38" fontId="6" fillId="2" borderId="10" xfId="1" applyFont="1" applyFill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 applyProtection="1">
      <alignment vertical="center" shrinkToFit="1"/>
      <protection locked="0"/>
    </xf>
    <xf numFmtId="0" fontId="6" fillId="2" borderId="13" xfId="0" applyFont="1" applyFill="1" applyBorder="1" applyAlignment="1" applyProtection="1">
      <alignment vertical="center" shrinkToFit="1"/>
      <protection locked="0"/>
    </xf>
    <xf numFmtId="0" fontId="6" fillId="2" borderId="14" xfId="0" applyFont="1" applyFill="1" applyBorder="1" applyAlignment="1" applyProtection="1">
      <alignment vertical="center" shrinkToFit="1"/>
      <protection locked="0"/>
    </xf>
    <xf numFmtId="38" fontId="6" fillId="2" borderId="12" xfId="1" applyFont="1" applyFill="1" applyBorder="1" applyAlignment="1" applyProtection="1">
      <alignment vertical="center" shrinkToFit="1"/>
      <protection locked="0"/>
    </xf>
    <xf numFmtId="38" fontId="6" fillId="2" borderId="13" xfId="1" applyFont="1" applyFill="1" applyBorder="1" applyAlignment="1" applyProtection="1">
      <alignment vertical="center" shrinkToFit="1"/>
      <protection locked="0"/>
    </xf>
    <xf numFmtId="0" fontId="10" fillId="0" borderId="4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38" fontId="10" fillId="0" borderId="4" xfId="1" applyFont="1" applyFill="1" applyBorder="1" applyAlignment="1" applyProtection="1">
      <alignment vertical="center" shrinkToFit="1"/>
    </xf>
    <xf numFmtId="38" fontId="10" fillId="0" borderId="2" xfId="1" applyFont="1" applyFill="1" applyBorder="1" applyAlignment="1" applyProtection="1">
      <alignment vertical="center" shrinkToFit="1"/>
    </xf>
    <xf numFmtId="0" fontId="6" fillId="0" borderId="0" xfId="0" applyFont="1" applyAlignment="1">
      <alignment horizontal="center" vertical="center"/>
    </xf>
    <xf numFmtId="0" fontId="6" fillId="2" borderId="2" xfId="0" applyFont="1" applyFill="1" applyBorder="1" applyAlignment="1" applyProtection="1">
      <alignment horizontal="left" vertical="center" wrapText="1"/>
      <protection locked="0"/>
    </xf>
    <xf numFmtId="0" fontId="10" fillId="0" borderId="3" xfId="0" applyFont="1" applyBorder="1" applyAlignment="1">
      <alignment horizontal="left" vertical="top" shrinkToFit="1"/>
    </xf>
    <xf numFmtId="38" fontId="13" fillId="0" borderId="1" xfId="1" applyFont="1" applyFill="1" applyBorder="1" applyAlignment="1" applyProtection="1">
      <alignment horizontal="right"/>
    </xf>
    <xf numFmtId="0" fontId="6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2" borderId="6" xfId="0" applyFont="1" applyFill="1" applyBorder="1" applyAlignment="1" applyProtection="1">
      <alignment vertical="center" shrinkToFit="1"/>
      <protection locked="0"/>
    </xf>
    <xf numFmtId="0" fontId="6" fillId="2" borderId="7" xfId="0" applyFont="1" applyFill="1" applyBorder="1" applyAlignment="1" applyProtection="1">
      <alignment vertical="center" shrinkToFit="1"/>
      <protection locked="0"/>
    </xf>
    <xf numFmtId="0" fontId="6" fillId="2" borderId="8" xfId="0" applyFont="1" applyFill="1" applyBorder="1" applyAlignment="1" applyProtection="1">
      <alignment vertical="center" shrinkToFit="1"/>
      <protection locked="0"/>
    </xf>
    <xf numFmtId="38" fontId="6" fillId="2" borderId="6" xfId="1" applyFont="1" applyFill="1" applyBorder="1" applyAlignment="1" applyProtection="1">
      <alignment vertical="center" shrinkToFit="1"/>
      <protection locked="0"/>
    </xf>
    <xf numFmtId="38" fontId="6" fillId="2" borderId="7" xfId="1" applyFont="1" applyFill="1" applyBorder="1" applyAlignment="1" applyProtection="1">
      <alignment vertical="center" shrinkToFit="1"/>
      <protection locked="0"/>
    </xf>
    <xf numFmtId="0" fontId="10" fillId="2" borderId="1" xfId="0" applyFont="1" applyFill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right" vertical="center" wrapText="1" shrinkToFit="1"/>
    </xf>
    <xf numFmtId="0" fontId="11" fillId="2" borderId="1" xfId="0" applyFont="1" applyFill="1" applyBorder="1" applyAlignment="1">
      <alignment horizontal="right" vertical="center" shrinkToFit="1"/>
    </xf>
    <xf numFmtId="49" fontId="6" fillId="2" borderId="2" xfId="0" applyNumberFormat="1" applyFont="1" applyFill="1" applyBorder="1" applyAlignment="1" applyProtection="1">
      <alignment horizontal="left" vertical="center" shrinkToFit="1"/>
      <protection locked="0"/>
    </xf>
    <xf numFmtId="0" fontId="10" fillId="0" borderId="0" xfId="0" applyFont="1" applyAlignment="1">
      <alignment horizontal="left" vertical="center"/>
    </xf>
    <xf numFmtId="0" fontId="6" fillId="2" borderId="2" xfId="0" applyFont="1" applyFill="1" applyBorder="1" applyAlignment="1" applyProtection="1">
      <alignment horizontal="left" vertical="center" shrinkToFit="1"/>
      <protection locked="0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shrinkToFit="1"/>
    </xf>
    <xf numFmtId="0" fontId="6" fillId="0" borderId="1" xfId="0" applyFont="1" applyBorder="1" applyAlignment="1">
      <alignment horizontal="left" vertical="center" shrinkToFit="1"/>
    </xf>
    <xf numFmtId="31" fontId="9" fillId="0" borderId="1" xfId="0" applyNumberFormat="1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14">
    <dxf>
      <font>
        <color theme="0" tint="-0.499984740745262"/>
      </font>
    </dxf>
    <dxf>
      <font>
        <color theme="0" tint="-0.499984740745262"/>
      </font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46</xdr:row>
          <xdr:rowOff>146050</xdr:rowOff>
        </xdr:from>
        <xdr:to>
          <xdr:col>19</xdr:col>
          <xdr:colOff>241300</xdr:colOff>
          <xdr:row>48</xdr:row>
          <xdr:rowOff>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44</xdr:row>
          <xdr:rowOff>298450</xdr:rowOff>
        </xdr:from>
        <xdr:to>
          <xdr:col>19</xdr:col>
          <xdr:colOff>209550</xdr:colOff>
          <xdr:row>46</xdr:row>
          <xdr:rowOff>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45</xdr:row>
          <xdr:rowOff>152400</xdr:rowOff>
        </xdr:from>
        <xdr:to>
          <xdr:col>19</xdr:col>
          <xdr:colOff>209550</xdr:colOff>
          <xdr:row>47</xdr:row>
          <xdr:rowOff>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16</xdr:row>
          <xdr:rowOff>50800</xdr:rowOff>
        </xdr:from>
        <xdr:to>
          <xdr:col>18</xdr:col>
          <xdr:colOff>31750</xdr:colOff>
          <xdr:row>17</xdr:row>
          <xdr:rowOff>184150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17</xdr:row>
          <xdr:rowOff>114300</xdr:rowOff>
        </xdr:from>
        <xdr:to>
          <xdr:col>18</xdr:col>
          <xdr:colOff>88900</xdr:colOff>
          <xdr:row>18</xdr:row>
          <xdr:rowOff>38100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18</xdr:row>
          <xdr:rowOff>50800</xdr:rowOff>
        </xdr:from>
        <xdr:to>
          <xdr:col>18</xdr:col>
          <xdr:colOff>31750</xdr:colOff>
          <xdr:row>19</xdr:row>
          <xdr:rowOff>184150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19</xdr:row>
          <xdr:rowOff>114300</xdr:rowOff>
        </xdr:from>
        <xdr:to>
          <xdr:col>18</xdr:col>
          <xdr:colOff>88900</xdr:colOff>
          <xdr:row>20</xdr:row>
          <xdr:rowOff>38100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46</xdr:row>
          <xdr:rowOff>146050</xdr:rowOff>
        </xdr:from>
        <xdr:to>
          <xdr:col>19</xdr:col>
          <xdr:colOff>241300</xdr:colOff>
          <xdr:row>48</xdr:row>
          <xdr:rowOff>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44</xdr:row>
          <xdr:rowOff>298450</xdr:rowOff>
        </xdr:from>
        <xdr:to>
          <xdr:col>19</xdr:col>
          <xdr:colOff>209550</xdr:colOff>
          <xdr:row>46</xdr:row>
          <xdr:rowOff>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45</xdr:row>
          <xdr:rowOff>152400</xdr:rowOff>
        </xdr:from>
        <xdr:to>
          <xdr:col>19</xdr:col>
          <xdr:colOff>209550</xdr:colOff>
          <xdr:row>47</xdr:row>
          <xdr:rowOff>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fuji\Documents\github\expense-management-system\exel_format\shishutsu20251008.xlsx" TargetMode="External"/><Relationship Id="rId1" Type="http://schemas.openxmlformats.org/officeDocument/2006/relationships/externalLinkPath" Target="shishutsu202510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様式1　研究費支出願 (出張、支払手数料以外)"/>
      <sheetName val="様式2　研究費支出願 (出張) "/>
      <sheetName val="様式3　研究費支出願 (支払手数料・報酬)"/>
      <sheetName val="様式4　出張報告書"/>
      <sheetName val="様式5　謝金明細書（手書き）"/>
      <sheetName val="様式6　領収書"/>
      <sheetName val="様式7　会議録"/>
      <sheetName val="様式8　招聘報告書（科研用）"/>
      <sheetName val="様式9　図書台帳（個研用）"/>
      <sheetName val="様式10　研究費変更願 (Amazon Business用)"/>
      <sheetName val="費目一覧"/>
      <sheetName val="添付書類一覧（必要に応じて使用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A3" t="str">
            <v>図書費</v>
          </cell>
          <cell r="B3" t="str">
            <v>【添付物】①領収書（明細を含む）　②【様式9】図書台帳　③図書現物（蔵書印押印のため）</v>
          </cell>
        </row>
        <row r="4">
          <cell r="A4" t="str">
            <v>資料図書費（雑誌、追録、電子書籍など）</v>
          </cell>
          <cell r="B4" t="str">
            <v>【添付物】領収書（明細を含む）</v>
          </cell>
        </row>
        <row r="5">
          <cell r="A5" t="str">
            <v>情報機器（情報周辺機器を含む）及び実験用機器</v>
          </cell>
          <cell r="B5" t="str">
            <v>【添付物】①領収書（明細を含む）　②現物（検収シール貼付のため）</v>
          </cell>
        </row>
        <row r="6">
          <cell r="A6" t="str">
            <v>消耗品費</v>
          </cell>
          <cell r="B6" t="str">
            <v>【添付物】領収書（明細を含む）</v>
          </cell>
        </row>
        <row r="7">
          <cell r="A7" t="str">
            <v>学会年会費（入会費含む）及び参加費</v>
          </cell>
          <cell r="B7" t="str">
            <v>【添付物】領収書（年度、金額などの内容を証明する書類を含む）</v>
          </cell>
        </row>
        <row r="8">
          <cell r="A8" t="str">
            <v>複写料</v>
          </cell>
          <cell r="B8" t="str">
            <v>【添付物】領収書（明細を含む）</v>
          </cell>
        </row>
        <row r="9">
          <cell r="A9" t="str">
            <v>謝金</v>
          </cell>
          <cell r="B9" t="str">
            <v>【添付物】①【様式5】謝金明細書（手書き）　②【様式6】領収書（所定様式）</v>
          </cell>
        </row>
        <row r="10">
          <cell r="A10" t="str">
            <v>通信運搬費</v>
          </cell>
          <cell r="B10" t="str">
            <v>【添付物】①領収書　②明細（通信費：契約内容が確認できるもの、運搬費：送付内容・目的・送付先・件数）</v>
          </cell>
        </row>
        <row r="11">
          <cell r="A11" t="str">
            <v>印刷製本費</v>
          </cell>
          <cell r="B11" t="str">
            <v>【添付物】①領収書（明細を含む）　②印刷物</v>
          </cell>
        </row>
        <row r="12">
          <cell r="A12" t="str">
            <v>校閲料・翻訳料・テープ起こし料</v>
          </cell>
          <cell r="B12" t="str">
            <v>【添付物】①領収書（明細を含む）　②成果物</v>
          </cell>
        </row>
        <row r="13">
          <cell r="A13" t="str">
            <v>原稿掲載料</v>
          </cell>
          <cell r="B13" t="str">
            <v>【添付物】①領収書（明細を含む）　②学術雑誌等の表紙・目次の写し　③掲載原稿の写し　等</v>
          </cell>
        </row>
        <row r="14">
          <cell r="A14" t="str">
            <v>業務委託費</v>
          </cell>
          <cell r="B14" t="str">
            <v>【添付物】①領収書（明細を含む）　②概要がわかる書類（成果物など）</v>
          </cell>
        </row>
        <row r="15">
          <cell r="A15" t="str">
            <v>賃借料</v>
          </cell>
          <cell r="B15" t="str">
            <v>【添付物】領収書（明細を含む）</v>
          </cell>
        </row>
        <row r="16">
          <cell r="A16" t="str">
            <v>アプリケーション利用料</v>
          </cell>
          <cell r="B16" t="str">
            <v>【添付物】領収書（明細を含む）</v>
          </cell>
        </row>
        <row r="17">
          <cell r="A17" t="str">
            <v>その他</v>
          </cell>
          <cell r="B17"/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144C-EB3C-42CD-AD08-BA8A6E8CAD2E}">
  <dimension ref="A1:AB54"/>
  <sheetViews>
    <sheetView tabSelected="1" topLeftCell="A28" zoomScale="136" workbookViewId="0">
      <selection activeCell="V38" sqref="V38:X38"/>
    </sheetView>
  </sheetViews>
  <sheetFormatPr defaultColWidth="9" defaultRowHeight="18" x14ac:dyDescent="0.55000000000000004"/>
  <cols>
    <col min="1" max="21" width="3.5" customWidth="1"/>
    <col min="22" max="22" width="4.5" customWidth="1"/>
    <col min="23" max="25" width="3.5" customWidth="1"/>
    <col min="26" max="28" width="3.08203125" customWidth="1"/>
  </cols>
  <sheetData>
    <row r="1" spans="1:28" s="7" customFormat="1" ht="19" x14ac:dyDescent="0.55000000000000004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8" s="7" customFormat="1" ht="19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01" t="s">
        <v>1</v>
      </c>
      <c r="T2" s="101"/>
      <c r="U2" s="2"/>
      <c r="V2" s="3"/>
      <c r="W2" s="3"/>
      <c r="X2" s="3"/>
      <c r="Y2" s="3"/>
      <c r="Z2" s="4"/>
    </row>
    <row r="3" spans="1:28" s="7" customFormat="1" ht="10.5" customHeight="1" x14ac:dyDescent="0.5500000000000000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  <c r="T3" s="6"/>
      <c r="U3" s="5"/>
      <c r="V3" s="5"/>
      <c r="W3" s="5"/>
      <c r="X3" s="5"/>
      <c r="Y3" s="5"/>
    </row>
    <row r="4" spans="1:28" s="7" customFormat="1" ht="13" x14ac:dyDescent="0.55000000000000004">
      <c r="S4" s="102" t="s">
        <v>2</v>
      </c>
      <c r="T4" s="102"/>
      <c r="U4" s="103"/>
      <c r="V4" s="103"/>
      <c r="W4" s="103"/>
      <c r="X4" s="103"/>
      <c r="Y4" s="103"/>
    </row>
    <row r="5" spans="1:28" s="7" customFormat="1" ht="6" customHeight="1" x14ac:dyDescent="0.55000000000000004">
      <c r="S5" s="8"/>
      <c r="T5" s="8"/>
      <c r="U5" s="8"/>
      <c r="V5" s="8"/>
      <c r="W5" s="8"/>
      <c r="X5" s="8"/>
      <c r="Y5" s="8"/>
    </row>
    <row r="6" spans="1:28" s="7" customFormat="1" ht="13" x14ac:dyDescent="0.55000000000000004">
      <c r="A6" s="7" t="s">
        <v>3</v>
      </c>
    </row>
    <row r="7" spans="1:28" s="7" customFormat="1" ht="6" customHeight="1" x14ac:dyDescent="0.55000000000000004">
      <c r="S7" s="8"/>
      <c r="T7" s="8"/>
      <c r="U7" s="8"/>
      <c r="V7" s="8"/>
      <c r="W7" s="8"/>
      <c r="X7" s="8"/>
      <c r="Y7" s="8"/>
    </row>
    <row r="8" spans="1:28" s="7" customFormat="1" ht="18" customHeight="1" x14ac:dyDescent="0.55000000000000004">
      <c r="M8" s="38" t="s">
        <v>4</v>
      </c>
      <c r="N8" s="38"/>
      <c r="O8" s="38"/>
      <c r="P8" s="10" t="s">
        <v>5</v>
      </c>
      <c r="Q8" s="40"/>
      <c r="R8" s="40"/>
      <c r="S8" s="40"/>
      <c r="T8" s="40"/>
      <c r="U8" s="40"/>
      <c r="V8" s="40"/>
      <c r="W8" s="40"/>
      <c r="X8" s="40"/>
      <c r="Y8" s="40"/>
      <c r="Z8" s="11"/>
    </row>
    <row r="9" spans="1:28" s="7" customFormat="1" ht="18" customHeight="1" x14ac:dyDescent="0.55000000000000004">
      <c r="M9" s="38" t="s">
        <v>6</v>
      </c>
      <c r="N9" s="38"/>
      <c r="O9" s="38"/>
      <c r="P9" s="10" t="s">
        <v>5</v>
      </c>
      <c r="Q9" s="97"/>
      <c r="R9" s="97"/>
      <c r="S9" s="97"/>
      <c r="T9" s="97"/>
      <c r="U9" s="97"/>
      <c r="V9" s="97"/>
      <c r="W9" s="97"/>
      <c r="X9" s="97"/>
      <c r="Y9" s="97"/>
      <c r="Z9" s="11"/>
    </row>
    <row r="10" spans="1:28" s="7" customFormat="1" ht="18" customHeight="1" x14ac:dyDescent="0.55000000000000004">
      <c r="M10" s="38" t="s">
        <v>7</v>
      </c>
      <c r="N10" s="38"/>
      <c r="O10" s="38"/>
      <c r="P10" s="10" t="s">
        <v>5</v>
      </c>
      <c r="Q10" s="40"/>
      <c r="R10" s="40"/>
      <c r="S10" s="40"/>
      <c r="T10" s="40"/>
      <c r="U10" s="40"/>
      <c r="V10" s="40"/>
      <c r="W10" s="40"/>
      <c r="X10" s="40"/>
      <c r="Y10" s="40"/>
      <c r="Z10" s="11"/>
      <c r="AB10" s="33"/>
    </row>
    <row r="11" spans="1:28" s="7" customFormat="1" ht="18" customHeight="1" x14ac:dyDescent="0.55000000000000004">
      <c r="M11" s="98" t="s">
        <v>8</v>
      </c>
      <c r="N11" s="98"/>
      <c r="O11" s="98"/>
      <c r="P11" s="10" t="s">
        <v>5</v>
      </c>
      <c r="Q11" s="99"/>
      <c r="R11" s="99"/>
      <c r="S11" s="99"/>
      <c r="T11" s="99"/>
      <c r="U11" s="99"/>
      <c r="V11" s="99"/>
      <c r="W11" s="99"/>
      <c r="X11" s="99"/>
      <c r="Y11" s="99"/>
      <c r="Z11" s="11"/>
      <c r="AA11" s="34" t="s">
        <v>40</v>
      </c>
      <c r="AB11" s="33"/>
    </row>
    <row r="12" spans="1:28" s="7" customFormat="1" ht="6" customHeight="1" x14ac:dyDescent="0.55000000000000004">
      <c r="S12" s="8"/>
      <c r="T12" s="8"/>
      <c r="U12" s="8"/>
      <c r="V12" s="8"/>
      <c r="W12" s="8"/>
      <c r="X12" s="8"/>
      <c r="Y12" s="8"/>
    </row>
    <row r="13" spans="1:28" s="7" customFormat="1" ht="13" x14ac:dyDescent="0.55000000000000004">
      <c r="B13" s="7" t="s">
        <v>9</v>
      </c>
    </row>
    <row r="14" spans="1:28" s="7" customFormat="1" ht="3.4" customHeight="1" x14ac:dyDescent="0.55000000000000004"/>
    <row r="15" spans="1:28" s="7" customFormat="1" ht="3.4" customHeight="1" x14ac:dyDescent="0.55000000000000004"/>
    <row r="16" spans="1:28" s="7" customFormat="1" ht="25.5" customHeight="1" x14ac:dyDescent="0.55000000000000004">
      <c r="A16" s="38" t="s">
        <v>10</v>
      </c>
      <c r="B16" s="38"/>
      <c r="C16" s="38"/>
      <c r="D16" s="38"/>
      <c r="G16" s="93" t="s">
        <v>43</v>
      </c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</row>
    <row r="17" spans="1:27" s="7" customFormat="1" ht="7.15" customHeight="1" x14ac:dyDescent="0.55000000000000004">
      <c r="A17" s="9"/>
      <c r="B17" s="9"/>
      <c r="C17" s="9"/>
      <c r="D17" s="9"/>
    </row>
    <row r="18" spans="1:27" s="7" customFormat="1" ht="25.5" customHeight="1" x14ac:dyDescent="0.55000000000000004">
      <c r="A18" s="78" t="str">
        <f>IF($G$16="個人研究費・研修費","記入不要 →",IF($G$16="その他研究費","記入不要 →","(科研費の場合)"))</f>
        <v>記入不要 →</v>
      </c>
      <c r="B18" s="78"/>
      <c r="C18" s="78"/>
      <c r="D18" s="78"/>
      <c r="E18" s="78"/>
      <c r="F18" s="78"/>
      <c r="G18" s="94" t="s">
        <v>11</v>
      </c>
      <c r="H18" s="94"/>
      <c r="I18" s="40" t="s">
        <v>12</v>
      </c>
      <c r="J18" s="40"/>
      <c r="K18" s="40"/>
      <c r="L18" s="40"/>
      <c r="M18" s="40"/>
      <c r="N18" s="40"/>
      <c r="O18" s="40"/>
      <c r="P18" s="40"/>
      <c r="Q18" s="40"/>
      <c r="R18" s="95" t="s">
        <v>13</v>
      </c>
      <c r="S18" s="96"/>
      <c r="T18" s="96"/>
      <c r="U18" s="94" t="s">
        <v>14</v>
      </c>
      <c r="V18" s="94"/>
      <c r="W18" s="40"/>
      <c r="X18" s="40"/>
      <c r="Y18" s="40"/>
    </row>
    <row r="19" spans="1:27" s="7" customFormat="1" ht="7.15" customHeight="1" x14ac:dyDescent="0.55000000000000004">
      <c r="A19" s="10"/>
      <c r="B19" s="10"/>
      <c r="C19" s="10"/>
      <c r="D19" s="10"/>
      <c r="E19" s="10"/>
      <c r="F19" s="10"/>
      <c r="G19" s="6"/>
      <c r="H19" s="6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7" s="7" customFormat="1" ht="25.5" customHeight="1" x14ac:dyDescent="0.55000000000000004">
      <c r="A20" s="78" t="str">
        <f>IF($G$16="個人研究費・研修費","記入不要 →",IF($G$16="科学研究費助成事業","記入不要 →","(その他の研究費の場合)"))</f>
        <v>記入不要 →</v>
      </c>
      <c r="B20" s="78"/>
      <c r="C20" s="78"/>
      <c r="D20" s="78"/>
      <c r="E20" s="78"/>
      <c r="F20" s="78"/>
      <c r="G20" s="94" t="s">
        <v>15</v>
      </c>
      <c r="H20" s="94"/>
      <c r="I20" s="40" t="s">
        <v>12</v>
      </c>
      <c r="J20" s="40"/>
      <c r="K20" s="40"/>
      <c r="L20" s="40"/>
      <c r="M20" s="40"/>
      <c r="N20" s="40"/>
      <c r="O20" s="40"/>
      <c r="P20" s="40"/>
      <c r="Q20" s="40"/>
      <c r="R20" s="95" t="s">
        <v>16</v>
      </c>
      <c r="S20" s="96"/>
      <c r="T20" s="96"/>
      <c r="U20" s="94" t="s">
        <v>14</v>
      </c>
      <c r="V20" s="94"/>
      <c r="W20" s="40"/>
      <c r="X20" s="40"/>
      <c r="Y20" s="40"/>
    </row>
    <row r="21" spans="1:27" s="7" customFormat="1" ht="25.5" customHeight="1" x14ac:dyDescent="0.55000000000000004">
      <c r="A21" s="78" t="str">
        <f>IF($G$16="個人研究費・研修費","記入不要 →",IF($G$16="科学研究費助成事業","記入不要 →","※詳細記入欄"))</f>
        <v>記入不要 →</v>
      </c>
      <c r="B21" s="78"/>
      <c r="C21" s="78"/>
      <c r="D21" s="78"/>
      <c r="E21" s="78"/>
      <c r="F21" s="78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AA21" s="34" t="s">
        <v>41</v>
      </c>
    </row>
    <row r="22" spans="1:27" s="7" customFormat="1" ht="7.15" customHeight="1" x14ac:dyDescent="0.55000000000000004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T22" s="9"/>
      <c r="U22" s="9"/>
      <c r="V22" s="9"/>
      <c r="W22" s="9"/>
      <c r="X22" s="9"/>
      <c r="Y22" s="9"/>
    </row>
    <row r="23" spans="1:27" s="7" customFormat="1" ht="25.5" customHeight="1" x14ac:dyDescent="0.55000000000000004">
      <c r="A23" s="38" t="s">
        <v>17</v>
      </c>
      <c r="B23" s="38"/>
      <c r="C23" s="38"/>
      <c r="D23" s="38"/>
      <c r="E23" s="11"/>
      <c r="F23" s="11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spans="1:27" s="7" customFormat="1" ht="13" x14ac:dyDescent="0.55000000000000004">
      <c r="A24" s="9"/>
      <c r="B24" s="9"/>
      <c r="C24" s="9"/>
      <c r="D24" s="9"/>
      <c r="E24" s="9"/>
      <c r="F24" s="9"/>
      <c r="G24" s="80" t="e">
        <f>IF(G16="個人研究費・研修費",VLOOKUP(G23,'[1]添付書類一覧（必要に応じて使用）'!A3:B17,2,0)," ")</f>
        <v>#N/A</v>
      </c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</row>
    <row r="25" spans="1:27" s="7" customFormat="1" ht="25.5" customHeight="1" x14ac:dyDescent="0.25">
      <c r="A25" s="38" t="s">
        <v>18</v>
      </c>
      <c r="B25" s="38"/>
      <c r="C25" s="38"/>
      <c r="D25" s="38"/>
      <c r="E25" s="12"/>
      <c r="F25" s="12"/>
      <c r="G25" s="81">
        <f>V38</f>
        <v>0</v>
      </c>
      <c r="H25" s="81"/>
      <c r="I25" s="81"/>
      <c r="J25" s="81"/>
      <c r="K25" s="13" t="s">
        <v>19</v>
      </c>
      <c r="AA25" s="34" t="s">
        <v>42</v>
      </c>
    </row>
    <row r="26" spans="1:27" s="7" customFormat="1" ht="7.15" customHeight="1" x14ac:dyDescent="0.5500000000000000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T26" s="9"/>
      <c r="U26" s="9"/>
      <c r="V26" s="14"/>
      <c r="W26" s="14"/>
      <c r="X26" s="14"/>
      <c r="Y26" s="9"/>
    </row>
    <row r="27" spans="1:27" s="7" customFormat="1" ht="64.5" customHeight="1" x14ac:dyDescent="0.55000000000000004">
      <c r="A27" s="38" t="s">
        <v>20</v>
      </c>
      <c r="B27" s="38"/>
      <c r="C27" s="38"/>
      <c r="D27" s="38"/>
      <c r="G27" s="82" t="s">
        <v>21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4"/>
      <c r="V27" s="85" t="s">
        <v>22</v>
      </c>
      <c r="W27" s="86"/>
      <c r="X27" s="86"/>
      <c r="Y27" s="87"/>
    </row>
    <row r="28" spans="1:27" s="7" customFormat="1" ht="18.75" customHeight="1" x14ac:dyDescent="0.55000000000000004">
      <c r="A28" s="9"/>
      <c r="B28" s="9"/>
      <c r="C28" s="9"/>
      <c r="D28" s="8"/>
      <c r="F28" s="8">
        <v>1</v>
      </c>
      <c r="G28" s="88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90"/>
      <c r="V28" s="91"/>
      <c r="W28" s="92"/>
      <c r="X28" s="92"/>
      <c r="Y28" s="15" t="s">
        <v>19</v>
      </c>
    </row>
    <row r="29" spans="1:27" s="7" customFormat="1" ht="18.75" customHeight="1" x14ac:dyDescent="0.55000000000000004">
      <c r="A29" s="9"/>
      <c r="B29" s="9"/>
      <c r="C29" s="9"/>
      <c r="D29" s="8"/>
      <c r="F29" s="8">
        <v>2</v>
      </c>
      <c r="G29" s="63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5"/>
      <c r="V29" s="66"/>
      <c r="W29" s="67"/>
      <c r="X29" s="67"/>
      <c r="Y29" s="16" t="s">
        <v>19</v>
      </c>
    </row>
    <row r="30" spans="1:27" s="7" customFormat="1" ht="18.75" customHeight="1" x14ac:dyDescent="0.55000000000000004">
      <c r="A30" s="9"/>
      <c r="B30" s="9"/>
      <c r="C30" s="9"/>
      <c r="D30" s="8"/>
      <c r="F30" s="8">
        <v>3</v>
      </c>
      <c r="G30" s="63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5"/>
      <c r="V30" s="66"/>
      <c r="W30" s="67"/>
      <c r="X30" s="67"/>
      <c r="Y30" s="16" t="s">
        <v>19</v>
      </c>
    </row>
    <row r="31" spans="1:27" s="7" customFormat="1" ht="18.75" customHeight="1" x14ac:dyDescent="0.55000000000000004">
      <c r="A31" s="9"/>
      <c r="B31" s="9"/>
      <c r="C31" s="9"/>
      <c r="D31" s="8"/>
      <c r="F31" s="8">
        <v>4</v>
      </c>
      <c r="G31" s="63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5"/>
      <c r="V31" s="66"/>
      <c r="W31" s="67"/>
      <c r="X31" s="67"/>
      <c r="Y31" s="16" t="s">
        <v>19</v>
      </c>
    </row>
    <row r="32" spans="1:27" s="7" customFormat="1" ht="18.75" customHeight="1" x14ac:dyDescent="0.55000000000000004">
      <c r="A32" s="9"/>
      <c r="B32" s="9"/>
      <c r="C32" s="9"/>
      <c r="D32" s="8"/>
      <c r="F32" s="8">
        <v>5</v>
      </c>
      <c r="G32" s="63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5"/>
      <c r="V32" s="66"/>
      <c r="W32" s="67"/>
      <c r="X32" s="67"/>
      <c r="Y32" s="16" t="s">
        <v>19</v>
      </c>
    </row>
    <row r="33" spans="1:25" s="7" customFormat="1" ht="18.75" customHeight="1" x14ac:dyDescent="0.55000000000000004">
      <c r="A33" s="9"/>
      <c r="B33" s="9"/>
      <c r="C33" s="9"/>
      <c r="D33" s="8"/>
      <c r="F33" s="8">
        <v>6</v>
      </c>
      <c r="G33" s="63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5"/>
      <c r="V33" s="66"/>
      <c r="W33" s="67"/>
      <c r="X33" s="67"/>
      <c r="Y33" s="16" t="s">
        <v>19</v>
      </c>
    </row>
    <row r="34" spans="1:25" s="7" customFormat="1" ht="18.75" customHeight="1" x14ac:dyDescent="0.55000000000000004">
      <c r="A34" s="9"/>
      <c r="B34" s="9"/>
      <c r="C34" s="9"/>
      <c r="D34" s="8"/>
      <c r="F34" s="8">
        <v>7</v>
      </c>
      <c r="G34" s="63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5"/>
      <c r="V34" s="66"/>
      <c r="W34" s="67"/>
      <c r="X34" s="67"/>
      <c r="Y34" s="16" t="s">
        <v>19</v>
      </c>
    </row>
    <row r="35" spans="1:25" s="7" customFormat="1" ht="18.75" customHeight="1" x14ac:dyDescent="0.55000000000000004">
      <c r="A35" s="9"/>
      <c r="B35" s="9"/>
      <c r="C35" s="9"/>
      <c r="D35" s="8"/>
      <c r="F35" s="8">
        <v>8</v>
      </c>
      <c r="G35" s="63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5"/>
      <c r="V35" s="66"/>
      <c r="W35" s="67"/>
      <c r="X35" s="67"/>
      <c r="Y35" s="16" t="s">
        <v>19</v>
      </c>
    </row>
    <row r="36" spans="1:25" s="7" customFormat="1" ht="18.75" customHeight="1" x14ac:dyDescent="0.55000000000000004">
      <c r="A36" s="9"/>
      <c r="B36" s="9"/>
      <c r="C36" s="9"/>
      <c r="D36" s="8"/>
      <c r="F36" s="8">
        <v>9</v>
      </c>
      <c r="G36" s="63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5"/>
      <c r="V36" s="66"/>
      <c r="W36" s="67"/>
      <c r="X36" s="67"/>
      <c r="Y36" s="16" t="s">
        <v>19</v>
      </c>
    </row>
    <row r="37" spans="1:25" s="7" customFormat="1" ht="18.75" customHeight="1" x14ac:dyDescent="0.55000000000000004">
      <c r="A37" s="9"/>
      <c r="B37" s="9"/>
      <c r="C37" s="9"/>
      <c r="D37" s="8"/>
      <c r="F37" s="8">
        <v>10</v>
      </c>
      <c r="G37" s="68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70"/>
      <c r="V37" s="71"/>
      <c r="W37" s="72"/>
      <c r="X37" s="72"/>
      <c r="Y37" s="17" t="s">
        <v>19</v>
      </c>
    </row>
    <row r="38" spans="1:25" s="7" customFormat="1" ht="18.75" customHeight="1" x14ac:dyDescent="0.55000000000000004">
      <c r="A38" s="9"/>
      <c r="B38" s="9"/>
      <c r="C38" s="9"/>
      <c r="D38" s="9"/>
      <c r="G38" s="73" t="s">
        <v>23</v>
      </c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5"/>
      <c r="V38" s="76">
        <f>SUM(V28:X37)</f>
        <v>0</v>
      </c>
      <c r="W38" s="77"/>
      <c r="X38" s="77"/>
      <c r="Y38" s="18" t="s">
        <v>19</v>
      </c>
    </row>
    <row r="39" spans="1:25" s="7" customFormat="1" ht="6" customHeight="1" x14ac:dyDescent="0.55000000000000004">
      <c r="A39" s="9"/>
      <c r="B39" s="9"/>
      <c r="C39" s="9"/>
      <c r="D39" s="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20"/>
      <c r="U39" s="20"/>
      <c r="V39" s="20"/>
      <c r="W39" s="20"/>
      <c r="X39" s="20"/>
      <c r="Y39" s="21"/>
    </row>
    <row r="40" spans="1:25" s="7" customFormat="1" ht="18.75" customHeight="1" x14ac:dyDescent="0.55000000000000004">
      <c r="A40" s="9"/>
      <c r="B40" s="9"/>
      <c r="C40" s="9"/>
      <c r="D40" s="9"/>
      <c r="F40" s="22"/>
      <c r="G40" s="60" t="s">
        <v>24</v>
      </c>
      <c r="H40" s="60"/>
      <c r="I40" s="60"/>
      <c r="J40" s="60"/>
      <c r="K40" s="60"/>
      <c r="L40" s="60"/>
      <c r="M40" s="61" t="s">
        <v>25</v>
      </c>
      <c r="N40" s="61"/>
      <c r="O40" s="61"/>
      <c r="P40" s="62"/>
      <c r="Q40" s="62"/>
      <c r="R40" s="62"/>
      <c r="S40" s="62"/>
      <c r="T40" s="23" t="s">
        <v>26</v>
      </c>
      <c r="U40" s="62"/>
      <c r="V40" s="62"/>
      <c r="W40" s="62"/>
      <c r="X40" s="62"/>
      <c r="Y40" s="62"/>
    </row>
    <row r="41" spans="1:25" s="7" customFormat="1" ht="18.75" customHeight="1" x14ac:dyDescent="0.55000000000000004">
      <c r="A41" s="9"/>
      <c r="B41" s="9"/>
      <c r="C41" s="9"/>
      <c r="D41" s="9"/>
      <c r="F41" s="22"/>
      <c r="G41" s="60"/>
      <c r="H41" s="60"/>
      <c r="I41" s="60"/>
      <c r="J41" s="60"/>
      <c r="K41" s="60"/>
      <c r="L41" s="60"/>
      <c r="M41" s="61" t="s">
        <v>27</v>
      </c>
      <c r="N41" s="61"/>
      <c r="O41" s="61"/>
      <c r="P41" s="62"/>
      <c r="Q41" s="62"/>
      <c r="R41" s="62"/>
      <c r="S41" s="62"/>
      <c r="T41" s="23" t="s">
        <v>26</v>
      </c>
      <c r="U41" s="62"/>
      <c r="V41" s="62"/>
      <c r="W41" s="62"/>
      <c r="X41" s="62"/>
      <c r="Y41" s="62"/>
    </row>
    <row r="42" spans="1:25" s="7" customFormat="1" ht="7.15" customHeight="1" x14ac:dyDescent="0.55000000000000004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T42" s="9"/>
      <c r="U42" s="9"/>
      <c r="V42" s="9"/>
      <c r="W42" s="9"/>
      <c r="X42" s="9"/>
      <c r="Y42" s="9"/>
    </row>
    <row r="43" spans="1:25" s="7" customFormat="1" ht="25.5" customHeight="1" x14ac:dyDescent="0.55000000000000004">
      <c r="A43" s="37" t="s">
        <v>28</v>
      </c>
      <c r="B43" s="38"/>
      <c r="C43" s="38"/>
      <c r="D43" s="38"/>
      <c r="E43" s="11"/>
      <c r="F43" s="11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7" t="s">
        <v>29</v>
      </c>
      <c r="T43" s="40"/>
      <c r="U43" s="40"/>
      <c r="V43" s="40"/>
      <c r="W43" s="40"/>
      <c r="X43" s="40"/>
      <c r="Y43" s="40"/>
    </row>
    <row r="44" spans="1:25" s="7" customFormat="1" ht="7.15" customHeight="1" x14ac:dyDescent="0.55000000000000004">
      <c r="A44" s="24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T44" s="9"/>
      <c r="U44" s="9"/>
      <c r="V44" s="9"/>
      <c r="W44" s="9"/>
      <c r="X44" s="9"/>
      <c r="Y44" s="9"/>
    </row>
    <row r="45" spans="1:25" s="7" customFormat="1" ht="25.5" customHeight="1" x14ac:dyDescent="0.55000000000000004">
      <c r="A45" s="9" t="s">
        <v>30</v>
      </c>
      <c r="B45" s="9"/>
      <c r="C45" s="9"/>
      <c r="D45" s="9"/>
      <c r="E45" s="25"/>
      <c r="F45" s="25"/>
      <c r="G45" s="41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3"/>
      <c r="T45" s="50" t="s">
        <v>31</v>
      </c>
      <c r="U45" s="51"/>
      <c r="V45" s="51"/>
      <c r="W45" s="51"/>
      <c r="X45" s="51"/>
      <c r="Y45" s="52"/>
    </row>
    <row r="46" spans="1:25" s="7" customFormat="1" ht="13" x14ac:dyDescent="0.55000000000000004">
      <c r="A46" s="9"/>
      <c r="B46" s="9"/>
      <c r="C46" s="9"/>
      <c r="D46" s="9"/>
      <c r="E46" s="25"/>
      <c r="F46" s="25"/>
      <c r="G46" s="44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6"/>
      <c r="T46" s="26"/>
      <c r="U46" s="53" t="s">
        <v>32</v>
      </c>
      <c r="V46" s="53"/>
      <c r="W46" s="53"/>
      <c r="X46" s="53"/>
      <c r="Y46" s="54"/>
    </row>
    <row r="47" spans="1:25" s="7" customFormat="1" ht="13" x14ac:dyDescent="0.55000000000000004">
      <c r="A47" s="9"/>
      <c r="B47" s="9"/>
      <c r="C47" s="9"/>
      <c r="D47" s="9"/>
      <c r="E47" s="25"/>
      <c r="F47" s="25"/>
      <c r="G47" s="44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6"/>
      <c r="T47" s="26"/>
      <c r="U47" s="53" t="s">
        <v>33</v>
      </c>
      <c r="V47" s="53"/>
      <c r="W47" s="53"/>
      <c r="X47" s="53"/>
      <c r="Y47" s="54"/>
    </row>
    <row r="48" spans="1:25" s="7" customFormat="1" ht="13" x14ac:dyDescent="0.55000000000000004">
      <c r="A48" s="9"/>
      <c r="B48" s="9"/>
      <c r="C48" s="9"/>
      <c r="D48" s="9"/>
      <c r="E48" s="25"/>
      <c r="F48" s="25"/>
      <c r="G48" s="47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27"/>
      <c r="U48" s="55" t="s">
        <v>34</v>
      </c>
      <c r="V48" s="55"/>
      <c r="W48" s="55"/>
      <c r="X48" s="55"/>
      <c r="Y48" s="56"/>
    </row>
    <row r="49" spans="1:26" s="7" customFormat="1" ht="10" customHeight="1" thickBot="1" x14ac:dyDescent="0.6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9"/>
      <c r="S49" s="29"/>
      <c r="T49" s="28"/>
      <c r="U49" s="28"/>
      <c r="V49" s="28"/>
      <c r="W49" s="28"/>
      <c r="X49" s="28"/>
      <c r="Y49" s="28"/>
      <c r="Z49" s="29"/>
    </row>
    <row r="50" spans="1:26" s="7" customFormat="1" ht="17.25" customHeight="1" x14ac:dyDescent="0.55000000000000004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4"/>
      <c r="O50" s="14"/>
      <c r="P50" s="14"/>
      <c r="Q50" s="14"/>
      <c r="R50" s="30"/>
      <c r="S50" s="30"/>
      <c r="T50" s="14"/>
      <c r="U50" s="14"/>
      <c r="V50" s="14"/>
      <c r="W50" s="14"/>
      <c r="X50" s="14"/>
      <c r="Y50" s="14"/>
    </row>
    <row r="51" spans="1:26" s="7" customFormat="1" ht="18.75" customHeight="1" x14ac:dyDescent="0.55000000000000004">
      <c r="N51" s="57" t="s">
        <v>35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9"/>
    </row>
    <row r="52" spans="1:26" s="7" customFormat="1" ht="18.75" customHeight="1" x14ac:dyDescent="0.55000000000000004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5" t="s">
        <v>36</v>
      </c>
      <c r="O52" s="35"/>
      <c r="P52" s="35"/>
      <c r="Q52" s="35"/>
      <c r="R52" s="35"/>
      <c r="S52" s="35"/>
      <c r="T52" s="36" t="s">
        <v>37</v>
      </c>
      <c r="U52" s="36"/>
      <c r="V52" s="36"/>
      <c r="W52" s="36"/>
      <c r="X52" s="36"/>
      <c r="Y52" s="36"/>
    </row>
    <row r="53" spans="1:26" s="7" customFormat="1" ht="18.75" customHeight="1" x14ac:dyDescent="0.55000000000000004">
      <c r="M53" s="32"/>
      <c r="N53" s="35" t="s">
        <v>38</v>
      </c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spans="1:26" s="7" customFormat="1" ht="18.75" customHeight="1" x14ac:dyDescent="0.55000000000000004">
      <c r="N54" s="35" t="s">
        <v>39</v>
      </c>
      <c r="O54" s="35"/>
      <c r="P54" s="35"/>
      <c r="Q54" s="35"/>
      <c r="R54" s="35"/>
      <c r="S54" s="35"/>
      <c r="T54" s="36" t="s">
        <v>19</v>
      </c>
      <c r="U54" s="36"/>
      <c r="V54" s="36"/>
      <c r="W54" s="36"/>
      <c r="X54" s="36"/>
      <c r="Y54" s="36"/>
    </row>
  </sheetData>
  <mergeCells count="81">
    <mergeCell ref="A1:Z1"/>
    <mergeCell ref="S2:T2"/>
    <mergeCell ref="S4:T4"/>
    <mergeCell ref="U4:Y4"/>
    <mergeCell ref="M8:O8"/>
    <mergeCell ref="Q8:Y8"/>
    <mergeCell ref="M9:O9"/>
    <mergeCell ref="Q9:Y9"/>
    <mergeCell ref="M10:O10"/>
    <mergeCell ref="Q10:Y10"/>
    <mergeCell ref="M11:O11"/>
    <mergeCell ref="Q11:Y11"/>
    <mergeCell ref="W20:Y20"/>
    <mergeCell ref="A16:D16"/>
    <mergeCell ref="G16:Y16"/>
    <mergeCell ref="A18:F18"/>
    <mergeCell ref="G18:H18"/>
    <mergeCell ref="I18:Q18"/>
    <mergeCell ref="R18:T18"/>
    <mergeCell ref="U18:V18"/>
    <mergeCell ref="W18:Y18"/>
    <mergeCell ref="A20:F20"/>
    <mergeCell ref="G20:H20"/>
    <mergeCell ref="I20:Q20"/>
    <mergeCell ref="R20:T20"/>
    <mergeCell ref="U20:V20"/>
    <mergeCell ref="G29:U29"/>
    <mergeCell ref="V29:X29"/>
    <mergeCell ref="A21:F21"/>
    <mergeCell ref="G21:Y21"/>
    <mergeCell ref="A23:D23"/>
    <mergeCell ref="G23:Y23"/>
    <mergeCell ref="G24:Y24"/>
    <mergeCell ref="A25:D25"/>
    <mergeCell ref="G25:J25"/>
    <mergeCell ref="A27:D27"/>
    <mergeCell ref="G27:U27"/>
    <mergeCell ref="V27:Y27"/>
    <mergeCell ref="G28:U28"/>
    <mergeCell ref="V28:X28"/>
    <mergeCell ref="G30:U30"/>
    <mergeCell ref="V30:X30"/>
    <mergeCell ref="G31:U31"/>
    <mergeCell ref="V31:X31"/>
    <mergeCell ref="G32:U32"/>
    <mergeCell ref="V32:X32"/>
    <mergeCell ref="G33:U33"/>
    <mergeCell ref="V33:X33"/>
    <mergeCell ref="G34:U34"/>
    <mergeCell ref="V34:X34"/>
    <mergeCell ref="G35:U35"/>
    <mergeCell ref="V35:X35"/>
    <mergeCell ref="G36:U36"/>
    <mergeCell ref="V36:X36"/>
    <mergeCell ref="G37:U37"/>
    <mergeCell ref="V37:X37"/>
    <mergeCell ref="G38:U38"/>
    <mergeCell ref="V38:X38"/>
    <mergeCell ref="G40:L40"/>
    <mergeCell ref="M40:O40"/>
    <mergeCell ref="P40:S40"/>
    <mergeCell ref="U40:Y40"/>
    <mergeCell ref="G41:L41"/>
    <mergeCell ref="M41:O41"/>
    <mergeCell ref="P41:S41"/>
    <mergeCell ref="U41:Y41"/>
    <mergeCell ref="N54:S54"/>
    <mergeCell ref="T54:Y54"/>
    <mergeCell ref="A43:D43"/>
    <mergeCell ref="G43:Q43"/>
    <mergeCell ref="T43:Y43"/>
    <mergeCell ref="G45:S48"/>
    <mergeCell ref="T45:Y45"/>
    <mergeCell ref="U46:Y46"/>
    <mergeCell ref="U47:Y47"/>
    <mergeCell ref="U48:Y48"/>
    <mergeCell ref="N51:Y51"/>
    <mergeCell ref="N52:S52"/>
    <mergeCell ref="T52:Y52"/>
    <mergeCell ref="N53:S53"/>
    <mergeCell ref="T53:Y53"/>
  </mergeCells>
  <phoneticPr fontId="3"/>
  <conditionalFormatting sqref="A18:F18">
    <cfRule type="expression" dxfId="13" priority="14">
      <formula>$G$16="その他研究費"</formula>
    </cfRule>
  </conditionalFormatting>
  <conditionalFormatting sqref="A18:F21">
    <cfRule type="expression" dxfId="12" priority="13">
      <formula>$G$16="個人研究費・研修費"</formula>
    </cfRule>
  </conditionalFormatting>
  <conditionalFormatting sqref="A20:F21">
    <cfRule type="expression" dxfId="11" priority="12">
      <formula>$G$16="科学研究費助成事業"</formula>
    </cfRule>
  </conditionalFormatting>
  <conditionalFormatting sqref="G18:Y18">
    <cfRule type="expression" dxfId="10" priority="3">
      <formula>$G$16="その他研究費"</formula>
    </cfRule>
    <cfRule type="expression" dxfId="9" priority="4">
      <formula>$G$16="個人研究費・研修費"</formula>
    </cfRule>
  </conditionalFormatting>
  <conditionalFormatting sqref="G20:Y21">
    <cfRule type="expression" dxfId="8" priority="1">
      <formula>$G$16="科学研究費助成事業"</formula>
    </cfRule>
    <cfRule type="expression" dxfId="7" priority="2">
      <formula>$G$16="個人研究費・研修費"</formula>
    </cfRule>
  </conditionalFormatting>
  <conditionalFormatting sqref="G21:Y21">
    <cfRule type="expression" dxfId="6" priority="11">
      <formula>$A$21="記入不要 →"</formula>
    </cfRule>
  </conditionalFormatting>
  <conditionalFormatting sqref="I18:Q18">
    <cfRule type="expression" dxfId="5" priority="8">
      <formula>$A$18="記入不要 →"</formula>
    </cfRule>
  </conditionalFormatting>
  <conditionalFormatting sqref="I20:Q20">
    <cfRule type="expression" dxfId="4" priority="10">
      <formula>$A$20="記入不要 →"</formula>
    </cfRule>
  </conditionalFormatting>
  <conditionalFormatting sqref="T45">
    <cfRule type="expression" dxfId="3" priority="6">
      <formula>$G$16="個人研究費・研修費"</formula>
    </cfRule>
  </conditionalFormatting>
  <conditionalFormatting sqref="T46:U48">
    <cfRule type="expression" dxfId="2" priority="5">
      <formula>$G$16="個人研究費・研修費"</formula>
    </cfRule>
  </conditionalFormatting>
  <conditionalFormatting sqref="W18:Y18">
    <cfRule type="expression" dxfId="1" priority="7">
      <formula>$A$18="記入不要 →"</formula>
    </cfRule>
  </conditionalFormatting>
  <conditionalFormatting sqref="W20:Y20">
    <cfRule type="expression" dxfId="0" priority="9">
      <formula>$A$20="記入不要 →"</formula>
    </cfRule>
  </conditionalFormatting>
  <dataValidations count="2">
    <dataValidation imeMode="off" allowBlank="1" showInputMessage="1" showErrorMessage="1" sqref="V28:X37 W18:Y18 W20:Y20 Q9" xr:uid="{BBD060CF-4C09-4D75-9ACD-994CD0C6F6AE}"/>
    <dataValidation imeMode="on" allowBlank="1" showInputMessage="1" showErrorMessage="1" sqref="T43:Y43 Q10:Q11 G21:Y21 U40:Y41 P40:S41 G28:U37 G43:Q43 Q8 G45" xr:uid="{14D64E2D-7DB5-4A2B-A9A3-CEB9F5A38795}"/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4" r:id="rId3" name="Check Box 40">
              <controlPr defaultSize="0" autoFill="0" autoLine="0" autoPict="0">
                <anchor moveWithCells="1">
                  <from>
                    <xdr:col>19</xdr:col>
                    <xdr:colOff>0</xdr:colOff>
                    <xdr:row>46</xdr:row>
                    <xdr:rowOff>146050</xdr:rowOff>
                  </from>
                  <to>
                    <xdr:col>19</xdr:col>
                    <xdr:colOff>241300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" name="Check Box 41">
              <controlPr defaultSize="0" autoFill="0" autoLine="0" autoPict="0">
                <anchor moveWithCells="1">
                  <from>
                    <xdr:col>19</xdr:col>
                    <xdr:colOff>0</xdr:colOff>
                    <xdr:row>44</xdr:row>
                    <xdr:rowOff>298450</xdr:rowOff>
                  </from>
                  <to>
                    <xdr:col>19</xdr:col>
                    <xdr:colOff>209550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5" name="Check Box 42">
              <controlPr defaultSize="0" autoFill="0" autoLine="0" autoPict="0">
                <anchor moveWithCells="1">
                  <from>
                    <xdr:col>19</xdr:col>
                    <xdr:colOff>0</xdr:colOff>
                    <xdr:row>45</xdr:row>
                    <xdr:rowOff>152400</xdr:rowOff>
                  </from>
                  <to>
                    <xdr:col>19</xdr:col>
                    <xdr:colOff>209550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6" name="Check Box 44">
              <controlPr defaultSize="0" autoFill="0" autoLine="0" autoPict="0">
                <anchor moveWithCells="1">
                  <from>
                    <xdr:col>17</xdr:col>
                    <xdr:colOff>57150</xdr:colOff>
                    <xdr:row>16</xdr:row>
                    <xdr:rowOff>50800</xdr:rowOff>
                  </from>
                  <to>
                    <xdr:col>18</xdr:col>
                    <xdr:colOff>31750</xdr:colOff>
                    <xdr:row>17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7" name="Check Box 45">
              <controlPr defaultSize="0" autoFill="0" autoLine="0" autoPict="0">
                <anchor moveWithCells="1">
                  <from>
                    <xdr:col>17</xdr:col>
                    <xdr:colOff>57150</xdr:colOff>
                    <xdr:row>17</xdr:row>
                    <xdr:rowOff>114300</xdr:rowOff>
                  </from>
                  <to>
                    <xdr:col>18</xdr:col>
                    <xdr:colOff>88900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8" name="Check Box 46">
              <controlPr defaultSize="0" autoFill="0" autoLine="0" autoPict="0">
                <anchor moveWithCells="1">
                  <from>
                    <xdr:col>17</xdr:col>
                    <xdr:colOff>57150</xdr:colOff>
                    <xdr:row>18</xdr:row>
                    <xdr:rowOff>50800</xdr:rowOff>
                  </from>
                  <to>
                    <xdr:col>18</xdr:col>
                    <xdr:colOff>31750</xdr:colOff>
                    <xdr:row>19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9" name="Check Box 47">
              <controlPr defaultSize="0" autoFill="0" autoLine="0" autoPict="0">
                <anchor moveWithCells="1">
                  <from>
                    <xdr:col>17</xdr:col>
                    <xdr:colOff>57150</xdr:colOff>
                    <xdr:row>19</xdr:row>
                    <xdr:rowOff>114300</xdr:rowOff>
                  </from>
                  <to>
                    <xdr:col>18</xdr:col>
                    <xdr:colOff>88900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10" name="Check Box 48">
              <controlPr defaultSize="0" autoFill="0" autoLine="0" autoPict="0">
                <anchor moveWithCells="1">
                  <from>
                    <xdr:col>19</xdr:col>
                    <xdr:colOff>0</xdr:colOff>
                    <xdr:row>46</xdr:row>
                    <xdr:rowOff>146050</xdr:rowOff>
                  </from>
                  <to>
                    <xdr:col>19</xdr:col>
                    <xdr:colOff>241300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11" name="Check Box 49">
              <controlPr defaultSize="0" autoFill="0" autoLine="0" autoPict="0">
                <anchor moveWithCells="1">
                  <from>
                    <xdr:col>19</xdr:col>
                    <xdr:colOff>0</xdr:colOff>
                    <xdr:row>44</xdr:row>
                    <xdr:rowOff>298450</xdr:rowOff>
                  </from>
                  <to>
                    <xdr:col>19</xdr:col>
                    <xdr:colOff>209550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12" name="Check Box 50">
              <controlPr defaultSize="0" autoFill="0" autoLine="0" autoPict="0">
                <anchor moveWithCells="1">
                  <from>
                    <xdr:col>19</xdr:col>
                    <xdr:colOff>0</xdr:colOff>
                    <xdr:row>45</xdr:row>
                    <xdr:rowOff>152400</xdr:rowOff>
                  </from>
                  <to>
                    <xdr:col>19</xdr:col>
                    <xdr:colOff>209550</xdr:colOff>
                    <xdr:row>47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藤原 和将</dc:creator>
  <cp:lastModifiedBy>藤原 和将</cp:lastModifiedBy>
  <dcterms:created xsi:type="dcterms:W3CDTF">2025-10-11T09:04:09Z</dcterms:created>
  <dcterms:modified xsi:type="dcterms:W3CDTF">2025-10-11T10:33:27Z</dcterms:modified>
</cp:coreProperties>
</file>